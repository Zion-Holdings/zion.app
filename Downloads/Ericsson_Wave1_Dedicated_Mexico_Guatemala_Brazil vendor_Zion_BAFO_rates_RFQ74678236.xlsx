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ve 1 Dedicated" sheetId="1" r:id="rId4"/>
  </sheets>
  <definedNames/>
  <calcPr/>
  <extLst>
    <ext uri="GoogleSheetsCustomDataVersion2">
      <go:sheetsCustomData xmlns:go="http://customooxmlschemas.google.com/" r:id="rId5" roundtripDataChecksum="MzO64AvbYWTdN9Bz4Z1Q0AVSUJZfquawFSGgYpLIRME="/>
    </ext>
  </extLst>
</workbook>
</file>

<file path=xl/sharedStrings.xml><?xml version="1.0" encoding="utf-8"?>
<sst xmlns="http://schemas.openxmlformats.org/spreadsheetml/2006/main" count="63" uniqueCount="43">
  <si>
    <t>Country</t>
  </si>
  <si>
    <t>Sites</t>
  </si>
  <si>
    <t>FTE</t>
  </si>
  <si>
    <t>Mexico</t>
  </si>
  <si>
    <t>Guatemala</t>
  </si>
  <si>
    <t>Brazil</t>
  </si>
  <si>
    <t>Resource ID</t>
  </si>
  <si>
    <t>City</t>
  </si>
  <si>
    <t>Site Code</t>
  </si>
  <si>
    <t>Full Site Address</t>
  </si>
  <si>
    <t># Users</t>
  </si>
  <si>
    <t>Ericsson Onboarding Date</t>
  </si>
  <si>
    <t>Site Available Date</t>
  </si>
  <si>
    <t>Target Vendor Monthly Rate</t>
  </si>
  <si>
    <t>Actual Vendor Monthly Rate</t>
  </si>
  <si>
    <t>Candidates</t>
  </si>
  <si>
    <t>Vendor</t>
  </si>
  <si>
    <t>W1-MXTC01-01</t>
  </si>
  <si>
    <t>Tlaxcala</t>
  </si>
  <si>
    <t>MXTC01</t>
  </si>
  <si>
    <t>Mpio. Tetla de la Solidaridad Carr. A Mena Km.7 Xicohtencatl CP 90434 Tlaxcala</t>
  </si>
  <si>
    <t>W1-MXDG01-01</t>
  </si>
  <si>
    <t>Mexico City</t>
  </si>
  <si>
    <t>MXDG01</t>
  </si>
  <si>
    <t>Av. Cuitláhuac 2309 Colonia 02070 Azcapotzalco, Mexico City, Mexico</t>
  </si>
  <si>
    <t>W1-MXDG01-02</t>
  </si>
  <si>
    <t>W1-MXDG01-03</t>
  </si>
  <si>
    <t>W1-MXNU01-01</t>
  </si>
  <si>
    <t>MXNU01</t>
  </si>
  <si>
    <t>Av rio San Joaquin 498 11529 Mexico City</t>
  </si>
  <si>
    <t>W1-GTSJ01-01</t>
  </si>
  <si>
    <t>Guatemala City</t>
  </si>
  <si>
    <t>GTSJ01</t>
  </si>
  <si>
    <t>Anillo Periférico Corporativo San Jorge Guatemala City, 01011 Guatemala</t>
  </si>
  <si>
    <t>W1-BRSJ01-01</t>
  </si>
  <si>
    <t>Sao Jose dos Campos</t>
  </si>
  <si>
    <t>BRSJ01</t>
  </si>
  <si>
    <t>Rua Ambrósio Molina 1090 02047-901 Sao Jose dos Campos</t>
  </si>
  <si>
    <t>W1-BRCN01-01</t>
  </si>
  <si>
    <t>Sao Paulo</t>
  </si>
  <si>
    <t>BRCN01</t>
  </si>
  <si>
    <t>Av. das Nações Unidas 04578-910 São Paulo</t>
  </si>
  <si>
    <t>W1-BRCN01-02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</si>
</sst>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\ d\,\ yyyy"/>
    <numFmt numFmtId="165" formatCode="\$#,##0.00"/>
  </numFmts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0.0"/>
      <color rgb="FFFFFFFF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0F6B78"/>
        <bgColor rgb="FF0F6B78"/>
      </patternFill>
    </fill>
    <fill>
      <patternFill patternType="solid">
        <fgColor rgb="FF1F4E78"/>
        <bgColor rgb="FF1F4E78"/>
      </patternFill>
    </fill>
    <fill>
      <patternFill patternType="solid">
        <fgColor rgb="FFFAE2D5"/>
        <bgColor rgb="FFFAE2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3" numFmtId="0" xfId="0" applyFont="1"/>
    <xf borderId="1" fillId="3" fontId="4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" fillId="4" fontId="2" numFmtId="165" xfId="0" applyAlignment="1" applyBorder="1" applyFill="1" applyFont="1" applyNumberFormat="1">
      <alignment horizontal="center" shrinkToFit="0" vertical="center" wrapText="0"/>
    </xf>
    <xf borderId="1" fillId="4" fontId="2" numFmtId="0" xfId="0" applyAlignment="1" applyBorder="1" applyFont="1">
      <alignment horizontal="center" shrinkToFit="0" vertical="center" wrapText="1"/>
    </xf>
    <xf borderId="1" fillId="4" fontId="2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count="5" pivot="0" name="Wave 1 Dedicated-style">
      <tableStyleElement dxfId="1" type="headerRow"/>
      <tableStyleElement dxfId="2" type="firstRowStripe"/>
      <tableStyleElement dxfId="3" type="secondRowStripe"/>
      <tableStyleElement dxfId="3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5:L15" displayName="Wave1DedicatedResources" name="Wave1DedicatedResources" id="1">
  <tableColumns count="12">
    <tableColumn name="Resource ID" id="1"/>
    <tableColumn name="Country" id="2"/>
    <tableColumn name="City" id="3"/>
    <tableColumn name="Site Code" id="4"/>
    <tableColumn name="Full Site Address" id="5"/>
    <tableColumn name="# Users" id="6"/>
    <tableColumn name="Ericsson Onboarding Date" id="7"/>
    <tableColumn name="Site Available Date" id="8"/>
    <tableColumn totalsRowFunction="custom" name="Target Vendor Monthly Rate" id="9"/>
    <tableColumn totalsRowFunction="custom" name="Actual Vendor Monthly Rate" id="10"/>
    <tableColumn name="Candidates" id="11"/>
    <tableColumn name="Vendor" id="12"/>
  </tableColumns>
  <tableStyleInfo name="Wave 1 Dedicat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9.75"/>
    <col customWidth="1" min="3" max="3" width="19.0"/>
    <col customWidth="1" min="4" max="4" width="9.0"/>
    <col customWidth="1" min="5" max="5" width="42.0"/>
    <col customWidth="1" min="6" max="6" width="8.25"/>
    <col customWidth="1" min="7" max="8" width="15.0"/>
    <col customWidth="1" min="9" max="10" width="14.75"/>
    <col customWidth="1" min="11" max="11" width="26.25"/>
    <col customWidth="1" min="12" max="12" width="13.75"/>
    <col customWidth="1" min="13" max="26" width="8.75"/>
  </cols>
  <sheetData>
    <row r="1" ht="13.5" customHeight="1">
      <c r="A1" s="1" t="s">
        <v>0</v>
      </c>
      <c r="B1" s="1" t="s">
        <v>1</v>
      </c>
      <c r="C1" s="1" t="s">
        <v>2</v>
      </c>
    </row>
    <row r="2" ht="13.5" customHeight="1">
      <c r="A2" s="2" t="s">
        <v>3</v>
      </c>
      <c r="B2" s="3">
        <v>3.0</v>
      </c>
      <c r="C2" s="3">
        <v>5.0</v>
      </c>
    </row>
    <row r="3" ht="13.5" customHeight="1">
      <c r="A3" s="2" t="s">
        <v>4</v>
      </c>
      <c r="B3" s="3">
        <v>1.0</v>
      </c>
      <c r="C3" s="3">
        <v>1.0</v>
      </c>
    </row>
    <row r="4" ht="13.5" customHeight="1">
      <c r="A4" s="2" t="s">
        <v>5</v>
      </c>
      <c r="B4" s="3">
        <v>2.0</v>
      </c>
      <c r="C4" s="3">
        <v>3.0</v>
      </c>
    </row>
    <row r="5" ht="39.75" customHeight="1">
      <c r="A5" s="4" t="s">
        <v>6</v>
      </c>
      <c r="B5" s="4" t="s">
        <v>0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</row>
    <row r="6" ht="31.5" customHeight="1">
      <c r="A6" s="5" t="s">
        <v>17</v>
      </c>
      <c r="B6" s="5" t="s">
        <v>3</v>
      </c>
      <c r="C6" s="5" t="s">
        <v>18</v>
      </c>
      <c r="D6" s="5" t="s">
        <v>19</v>
      </c>
      <c r="E6" s="6" t="s">
        <v>20</v>
      </c>
      <c r="F6" s="5">
        <v>167.0</v>
      </c>
      <c r="G6" s="7">
        <v>46227.0</v>
      </c>
      <c r="H6" s="7">
        <v>46248.0</v>
      </c>
      <c r="I6" s="8">
        <v>1327.0</v>
      </c>
      <c r="J6" s="8">
        <v>2537.5</v>
      </c>
      <c r="K6" s="9"/>
      <c r="L6" s="9"/>
    </row>
    <row r="7" ht="31.5" customHeight="1">
      <c r="A7" s="5" t="s">
        <v>21</v>
      </c>
      <c r="B7" s="5" t="s">
        <v>3</v>
      </c>
      <c r="C7" s="5" t="s">
        <v>22</v>
      </c>
      <c r="D7" s="5" t="s">
        <v>23</v>
      </c>
      <c r="E7" s="6" t="s">
        <v>24</v>
      </c>
      <c r="F7" s="5">
        <v>1800.0</v>
      </c>
      <c r="G7" s="7">
        <v>46224.0</v>
      </c>
      <c r="H7" s="7">
        <v>46245.0</v>
      </c>
      <c r="I7" s="8">
        <v>1327.0</v>
      </c>
      <c r="J7" s="8">
        <v>2595.5</v>
      </c>
      <c r="K7" s="9"/>
      <c r="L7" s="9"/>
    </row>
    <row r="8" ht="31.5" customHeight="1">
      <c r="A8" s="5" t="s">
        <v>25</v>
      </c>
      <c r="B8" s="5" t="s">
        <v>3</v>
      </c>
      <c r="C8" s="5" t="s">
        <v>22</v>
      </c>
      <c r="D8" s="5" t="s">
        <v>23</v>
      </c>
      <c r="E8" s="6" t="s">
        <v>24</v>
      </c>
      <c r="F8" s="5">
        <v>1800.0</v>
      </c>
      <c r="G8" s="7">
        <v>46224.0</v>
      </c>
      <c r="H8" s="7">
        <v>46245.0</v>
      </c>
      <c r="I8" s="8">
        <v>1327.0</v>
      </c>
      <c r="J8" s="8">
        <v>2595.5</v>
      </c>
      <c r="K8" s="9"/>
      <c r="L8" s="9"/>
    </row>
    <row r="9" ht="31.5" customHeight="1">
      <c r="A9" s="5" t="s">
        <v>26</v>
      </c>
      <c r="B9" s="5" t="s">
        <v>3</v>
      </c>
      <c r="C9" s="5" t="s">
        <v>22</v>
      </c>
      <c r="D9" s="5" t="s">
        <v>23</v>
      </c>
      <c r="E9" s="6" t="s">
        <v>24</v>
      </c>
      <c r="F9" s="5">
        <v>1800.0</v>
      </c>
      <c r="G9" s="7">
        <v>46224.0</v>
      </c>
      <c r="H9" s="7">
        <v>46245.0</v>
      </c>
      <c r="I9" s="8">
        <v>1327.0</v>
      </c>
      <c r="J9" s="8">
        <v>2595.5</v>
      </c>
      <c r="K9" s="9"/>
      <c r="L9" s="9"/>
    </row>
    <row r="10" ht="31.5" customHeight="1">
      <c r="A10" s="5" t="s">
        <v>27</v>
      </c>
      <c r="B10" s="5" t="s">
        <v>3</v>
      </c>
      <c r="C10" s="5" t="s">
        <v>22</v>
      </c>
      <c r="D10" s="5" t="s">
        <v>28</v>
      </c>
      <c r="E10" s="6" t="s">
        <v>29</v>
      </c>
      <c r="F10" s="5">
        <v>144.0</v>
      </c>
      <c r="G10" s="7">
        <v>46224.0</v>
      </c>
      <c r="H10" s="7">
        <v>46245.0</v>
      </c>
      <c r="I10" s="8">
        <v>1327.0</v>
      </c>
      <c r="J10" s="8">
        <v>2552.0</v>
      </c>
      <c r="K10" s="9"/>
      <c r="L10" s="9"/>
    </row>
    <row r="11" ht="31.5" customHeight="1">
      <c r="A11" s="5" t="s">
        <v>30</v>
      </c>
      <c r="B11" s="5" t="s">
        <v>4</v>
      </c>
      <c r="C11" s="5" t="s">
        <v>31</v>
      </c>
      <c r="D11" s="5" t="s">
        <v>32</v>
      </c>
      <c r="E11" s="6" t="s">
        <v>33</v>
      </c>
      <c r="F11" s="5">
        <v>188.0</v>
      </c>
      <c r="G11" s="7">
        <v>46227.0</v>
      </c>
      <c r="H11" s="7">
        <v>46248.0</v>
      </c>
      <c r="I11" s="8">
        <v>1053.0</v>
      </c>
      <c r="J11" s="8">
        <v>2059.0</v>
      </c>
      <c r="K11" s="9"/>
      <c r="L11" s="9"/>
    </row>
    <row r="12" ht="31.5" customHeight="1">
      <c r="A12" s="5" t="s">
        <v>34</v>
      </c>
      <c r="B12" s="5" t="s">
        <v>5</v>
      </c>
      <c r="C12" s="5" t="s">
        <v>35</v>
      </c>
      <c r="D12" s="5" t="s">
        <v>36</v>
      </c>
      <c r="E12" s="6" t="s">
        <v>37</v>
      </c>
      <c r="F12" s="5">
        <v>316.0</v>
      </c>
      <c r="G12" s="7">
        <v>46227.0</v>
      </c>
      <c r="H12" s="7">
        <v>46248.0</v>
      </c>
      <c r="I12" s="8">
        <v>1418.0</v>
      </c>
      <c r="J12" s="8">
        <v>2769.5</v>
      </c>
      <c r="K12" s="9"/>
      <c r="L12" s="9"/>
    </row>
    <row r="13" ht="31.5" customHeight="1">
      <c r="A13" s="5" t="s">
        <v>38</v>
      </c>
      <c r="B13" s="5" t="s">
        <v>5</v>
      </c>
      <c r="C13" s="5" t="s">
        <v>39</v>
      </c>
      <c r="D13" s="5" t="s">
        <v>40</v>
      </c>
      <c r="E13" s="6" t="s">
        <v>41</v>
      </c>
      <c r="F13" s="5">
        <v>1347.0</v>
      </c>
      <c r="G13" s="7">
        <v>46231.0</v>
      </c>
      <c r="H13" s="7">
        <v>46252.0</v>
      </c>
      <c r="I13" s="8">
        <v>1418.0</v>
      </c>
      <c r="J13" s="8">
        <v>2871.0</v>
      </c>
      <c r="K13" s="9"/>
      <c r="L13" s="9"/>
    </row>
    <row r="14" ht="31.5" customHeight="1">
      <c r="A14" s="5" t="s">
        <v>42</v>
      </c>
      <c r="B14" s="5" t="s">
        <v>5</v>
      </c>
      <c r="C14" s="5" t="s">
        <v>39</v>
      </c>
      <c r="D14" s="5" t="s">
        <v>40</v>
      </c>
      <c r="E14" s="6" t="s">
        <v>41</v>
      </c>
      <c r="F14" s="5">
        <v>1347.0</v>
      </c>
      <c r="G14" s="7">
        <v>46231.0</v>
      </c>
      <c r="H14" s="7">
        <v>46252.0</v>
      </c>
      <c r="I14" s="8">
        <v>1418.0</v>
      </c>
      <c r="J14" s="8">
        <v>2871.0</v>
      </c>
      <c r="K14" s="9"/>
      <c r="L14" s="9"/>
    </row>
    <row r="15" ht="13.5" customHeight="1">
      <c r="A15" s="5"/>
      <c r="B15" s="5"/>
      <c r="C15" s="5"/>
      <c r="D15" s="5"/>
      <c r="F15" s="5"/>
      <c r="G15" s="5"/>
      <c r="H15" s="5"/>
      <c r="I15" s="10">
        <f>SUBTOTAL(109,Wave1DedicatedResources[Target Vendor Monthly Rate])</f>
        <v>11942</v>
      </c>
      <c r="J15" s="8">
        <f>SUM(Wave1DedicatedResources[Actual Vendor Monthly Rate])</f>
        <v>23446.5</v>
      </c>
      <c r="K15" s="9"/>
      <c r="L15" s="9"/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L6:L14">
      <formula1>"Not Started,Sourcing,In Progress,Ready,Blocked,Complete"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2026-07-23T21:50:27Z</dcterms:created>
  <dc:creator>Marcello Neves Rodrigues</dc:creator>
</cp:coreProperties>
</file>